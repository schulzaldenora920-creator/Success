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月份</t>
        </is>
      </c>
      <c r="B1" s="1" t="inlineStr">
        <is>
          <t>区域</t>
        </is>
      </c>
      <c r="C1" s="1" t="inlineStr">
        <is>
          <t>产品线</t>
        </is>
      </c>
      <c r="D1" s="1" t="inlineStr">
        <is>
          <t>销售目标(万)</t>
        </is>
      </c>
      <c r="E1" s="1" t="inlineStr">
        <is>
          <t>实际销售额(万)</t>
        </is>
      </c>
      <c r="F1" s="1" t="inlineStr">
        <is>
          <t>线索数</t>
        </is>
      </c>
      <c r="G1" s="1" t="inlineStr">
        <is>
          <t>跟进客户数</t>
        </is>
      </c>
      <c r="H1" s="1" t="inlineStr">
        <is>
          <t>成交数</t>
        </is>
      </c>
      <c r="I1" s="1" t="inlineStr">
        <is>
          <t>客单价(元)</t>
        </is>
      </c>
      <c r="J1" s="1" t="inlineStr">
        <is>
          <t>备注</t>
        </is>
      </c>
      <c r="K1" s="1" t="inlineStr">
        <is>
          <t>目标完成率</t>
        </is>
      </c>
      <c r="L1" s="1" t="inlineStr">
        <is>
          <t>目标差额(万)</t>
        </is>
      </c>
      <c r="M1" s="1" t="inlineStr">
        <is>
          <t>线索→成交转化率</t>
        </is>
      </c>
      <c r="N1" s="1" t="inlineStr">
        <is>
          <t>线索→跟进率</t>
        </is>
      </c>
      <c r="O1" s="1" t="inlineStr">
        <is>
          <t>跟进→成交率</t>
        </is>
      </c>
      <c r="P1" s="1" t="inlineStr">
        <is>
          <t>销售额环比增长率</t>
        </is>
      </c>
    </row>
    <row r="2">
      <c r="A2" t="inlineStr">
        <is>
          <t>2024-01</t>
        </is>
      </c>
      <c r="B2" t="inlineStr">
        <is>
          <t>华东</t>
        </is>
      </c>
      <c r="C2" t="inlineStr">
        <is>
          <t>产品A</t>
        </is>
      </c>
      <c r="D2" t="n">
        <v>120</v>
      </c>
      <c r="E2" t="n">
        <v>119</v>
      </c>
      <c r="F2" t="n">
        <v>480</v>
      </c>
      <c r="G2" t="n">
        <v>312</v>
      </c>
      <c r="H2" t="n">
        <v>83</v>
      </c>
      <c r="I2" t="n">
        <v>14337</v>
      </c>
      <c r="K2" s="2">
        <f>IF(D2=0,"",E2/D2)</f>
        <v/>
      </c>
      <c r="L2" s="3">
        <f>E2-D2</f>
        <v/>
      </c>
      <c r="M2" s="2">
        <f>IF(F2="","",IF(F2=0,"",H2/F2))</f>
        <v/>
      </c>
      <c r="N2" s="2">
        <f>IF(F2="","",IF(F2=0,"",G2/F2))</f>
        <v/>
      </c>
      <c r="O2" s="2">
        <f>IF(G2=0,"",H2/G2)</f>
        <v/>
      </c>
      <c r="P2" s="4" t="inlineStr"/>
    </row>
    <row r="3">
      <c r="A3" t="inlineStr">
        <is>
          <t>2024-02</t>
        </is>
      </c>
      <c r="B3" t="inlineStr">
        <is>
          <t>华东</t>
        </is>
      </c>
      <c r="C3" t="inlineStr">
        <is>
          <t>产品A</t>
        </is>
      </c>
      <c r="D3" t="n">
        <v>120</v>
      </c>
      <c r="E3" t="n">
        <v>124</v>
      </c>
      <c r="F3" t="n">
        <v>498</v>
      </c>
      <c r="G3" t="n">
        <v>324</v>
      </c>
      <c r="H3" t="n">
        <v>87</v>
      </c>
      <c r="I3" t="n">
        <v>14253</v>
      </c>
      <c r="K3" s="2">
        <f>IF(D3=0,"",E3/D3)</f>
        <v/>
      </c>
      <c r="L3" s="3">
        <f>E3-D3</f>
        <v/>
      </c>
      <c r="M3" s="2">
        <f>IF(F3="","",IF(F3=0,"",H3/F3))</f>
        <v/>
      </c>
      <c r="N3" s="2">
        <f>IF(F3="","",IF(F3=0,"",G3/F3))</f>
        <v/>
      </c>
      <c r="O3" s="2">
        <f>IF(G3=0,"",H3/G3)</f>
        <v/>
      </c>
      <c r="P3" s="2">
        <f>IF(AND(B3=B2,C3=C2),IF(E2=0,"",(E3-E2)/E2),"")</f>
        <v/>
      </c>
    </row>
    <row r="4">
      <c r="A4" t="inlineStr">
        <is>
          <t>2024-03</t>
        </is>
      </c>
      <c r="B4" t="inlineStr">
        <is>
          <t>华东</t>
        </is>
      </c>
      <c r="C4" t="inlineStr">
        <is>
          <t>产品A</t>
        </is>
      </c>
      <c r="D4" t="n">
        <v>125</v>
      </c>
      <c r="E4" t="n">
        <v>127</v>
      </c>
      <c r="F4" t="n">
        <v>510</v>
      </c>
      <c r="G4" t="n">
        <v>330</v>
      </c>
      <c r="H4" t="n">
        <v>89</v>
      </c>
      <c r="I4" t="n">
        <v>14270</v>
      </c>
      <c r="K4" s="2">
        <f>IF(D4=0,"",E4/D4)</f>
        <v/>
      </c>
      <c r="L4" s="3">
        <f>E4-D4</f>
        <v/>
      </c>
      <c r="M4" s="2">
        <f>IF(F4="","",IF(F4=0,"",H4/F4))</f>
        <v/>
      </c>
      <c r="N4" s="2">
        <f>IF(F4="","",IF(F4=0,"",G4/F4))</f>
        <v/>
      </c>
      <c r="O4" s="2">
        <f>IF(G4=0,"",H4/G4)</f>
        <v/>
      </c>
      <c r="P4" s="2">
        <f>IF(AND(B4=B3,C4=C3),IF(E3=0,"",(E4-E3)/E3),"")</f>
        <v/>
      </c>
    </row>
    <row r="5">
      <c r="A5" t="inlineStr">
        <is>
          <t>2024-04</t>
        </is>
      </c>
      <c r="B5" t="inlineStr">
        <is>
          <t>华东</t>
        </is>
      </c>
      <c r="C5" t="inlineStr">
        <is>
          <t>产品A</t>
        </is>
      </c>
      <c r="D5" t="n">
        <v>130</v>
      </c>
      <c r="E5" t="n">
        <v>128</v>
      </c>
      <c r="F5" t="n">
        <v>515</v>
      </c>
      <c r="G5" t="n">
        <v>334</v>
      </c>
      <c r="H5" t="n">
        <v>90</v>
      </c>
      <c r="I5" t="n">
        <v>14222</v>
      </c>
      <c r="K5" s="2">
        <f>IF(D5=0,"",E5/D5)</f>
        <v/>
      </c>
      <c r="L5" s="3">
        <f>E5-D5</f>
        <v/>
      </c>
      <c r="M5" s="2">
        <f>IF(F5="","",IF(F5=0,"",H5/F5))</f>
        <v/>
      </c>
      <c r="N5" s="2">
        <f>IF(F5="","",IF(F5=0,"",G5/F5))</f>
        <v/>
      </c>
      <c r="O5" s="2">
        <f>IF(G5=0,"",H5/G5)</f>
        <v/>
      </c>
      <c r="P5" s="2">
        <f>IF(AND(B5=B4,C5=C4),IF(E4=0,"",(E5-E4)/E4),"")</f>
        <v/>
      </c>
    </row>
    <row r="6">
      <c r="A6" t="inlineStr">
        <is>
          <t>2024-05</t>
        </is>
      </c>
      <c r="B6" t="inlineStr">
        <is>
          <t>华东</t>
        </is>
      </c>
      <c r="C6" t="inlineStr">
        <is>
          <t>产品A</t>
        </is>
      </c>
      <c r="D6" t="n">
        <v>130</v>
      </c>
      <c r="E6" t="n">
        <v>133</v>
      </c>
      <c r="F6" t="n">
        <v>522</v>
      </c>
      <c r="G6" t="n">
        <v>340</v>
      </c>
      <c r="H6" t="n">
        <v>93</v>
      </c>
      <c r="I6" t="n">
        <v>14301</v>
      </c>
      <c r="K6" s="2">
        <f>IF(D6=0,"",E6/D6)</f>
        <v/>
      </c>
      <c r="L6" s="3">
        <f>E6-D6</f>
        <v/>
      </c>
      <c r="M6" s="2">
        <f>IF(F6="","",IF(F6=0,"",H6/F6))</f>
        <v/>
      </c>
      <c r="N6" s="2">
        <f>IF(F6="","",IF(F6=0,"",G6/F6))</f>
        <v/>
      </c>
      <c r="O6" s="2">
        <f>IF(G6=0,"",H6/G6)</f>
        <v/>
      </c>
      <c r="P6" s="2">
        <f>IF(AND(B6=B5,C6=C5),IF(E5=0,"",(E6-E5)/E5),"")</f>
        <v/>
      </c>
    </row>
    <row r="7">
      <c r="A7" t="inlineStr">
        <is>
          <t>2024-06</t>
        </is>
      </c>
      <c r="B7" t="inlineStr">
        <is>
          <t>华东</t>
        </is>
      </c>
      <c r="C7" t="inlineStr">
        <is>
          <t>产品A</t>
        </is>
      </c>
      <c r="D7" t="n">
        <v>135</v>
      </c>
      <c r="E7" t="n">
        <v>134</v>
      </c>
      <c r="F7" t="n">
        <v>528</v>
      </c>
      <c r="G7" t="n">
        <v>346</v>
      </c>
      <c r="H7" t="n">
        <v>94</v>
      </c>
      <c r="I7" t="n">
        <v>14255</v>
      </c>
      <c r="K7" s="2">
        <f>IF(D7=0,"",E7/D7)</f>
        <v/>
      </c>
      <c r="L7" s="3">
        <f>E7-D7</f>
        <v/>
      </c>
      <c r="M7" s="2">
        <f>IF(F7="","",IF(F7=0,"",H7/F7))</f>
        <v/>
      </c>
      <c r="N7" s="2">
        <f>IF(F7="","",IF(F7=0,"",G7/F7))</f>
        <v/>
      </c>
      <c r="O7" s="2">
        <f>IF(G7=0,"",H7/G7)</f>
        <v/>
      </c>
      <c r="P7" s="2">
        <f>IF(AND(B7=B6,C7=C6),IF(E6=0,"",(E7-E6)/E6),"")</f>
        <v/>
      </c>
    </row>
    <row r="8">
      <c r="A8" t="inlineStr">
        <is>
          <t>2024-01</t>
        </is>
      </c>
      <c r="B8" t="inlineStr">
        <is>
          <t>华东</t>
        </is>
      </c>
      <c r="C8" t="inlineStr">
        <is>
          <t>产品B</t>
        </is>
      </c>
      <c r="D8" t="n">
        <v>90</v>
      </c>
      <c r="E8" t="n">
        <v>92</v>
      </c>
      <c r="F8" t="n">
        <v>418</v>
      </c>
      <c r="G8" t="n">
        <v>278</v>
      </c>
      <c r="H8" t="n">
        <v>64</v>
      </c>
      <c r="I8" t="n">
        <v>14375</v>
      </c>
      <c r="K8" s="2">
        <f>IF(D8=0,"",E8/D8)</f>
        <v/>
      </c>
      <c r="L8" s="3">
        <f>E8-D8</f>
        <v/>
      </c>
      <c r="M8" s="2">
        <f>IF(F8="","",IF(F8=0,"",H8/F8))</f>
        <v/>
      </c>
      <c r="N8" s="2">
        <f>IF(F8="","",IF(F8=0,"",G8/F8))</f>
        <v/>
      </c>
      <c r="O8" s="2">
        <f>IF(G8=0,"",H8/G8)</f>
        <v/>
      </c>
      <c r="P8" s="2">
        <f>IF(AND(B8=B7,C8=C7),IF(E7=0,"",(E8-E7)/E7),"")</f>
        <v/>
      </c>
    </row>
    <row r="9">
      <c r="A9" t="inlineStr">
        <is>
          <t>2024-02</t>
        </is>
      </c>
      <c r="B9" t="inlineStr">
        <is>
          <t>华东</t>
        </is>
      </c>
      <c r="C9" t="inlineStr">
        <is>
          <t>产品B</t>
        </is>
      </c>
      <c r="D9" t="n">
        <v>90</v>
      </c>
      <c r="E9" t="n">
        <v>89</v>
      </c>
      <c r="F9" t="n">
        <v>408</v>
      </c>
      <c r="G9" t="n">
        <v>272</v>
      </c>
      <c r="H9" t="n">
        <v>62</v>
      </c>
      <c r="I9" t="n">
        <v>14355</v>
      </c>
      <c r="K9" s="2">
        <f>IF(D9=0,"",E9/D9)</f>
        <v/>
      </c>
      <c r="L9" s="3">
        <f>E9-D9</f>
        <v/>
      </c>
      <c r="M9" s="2">
        <f>IF(F9="","",IF(F9=0,"",H9/F9))</f>
        <v/>
      </c>
      <c r="N9" s="2">
        <f>IF(F9="","",IF(F9=0,"",G9/F9))</f>
        <v/>
      </c>
      <c r="O9" s="2">
        <f>IF(G9=0,"",H9/G9)</f>
        <v/>
      </c>
      <c r="P9" s="2">
        <f>IF(AND(B9=B8,C9=C8),IF(E8=0,"",(E9-E8)/E8),"")</f>
        <v/>
      </c>
    </row>
    <row r="10">
      <c r="A10" t="inlineStr">
        <is>
          <t>2024-03</t>
        </is>
      </c>
      <c r="B10" t="inlineStr">
        <is>
          <t>华东</t>
        </is>
      </c>
      <c r="C10" t="inlineStr">
        <is>
          <t>产品B</t>
        </is>
      </c>
      <c r="D10" t="n">
        <v>95</v>
      </c>
      <c r="E10" t="n">
        <v>97</v>
      </c>
      <c r="F10" t="n">
        <v>425</v>
      </c>
      <c r="G10" t="n">
        <v>284</v>
      </c>
      <c r="H10" t="n">
        <v>68</v>
      </c>
      <c r="I10" t="n">
        <v>14265</v>
      </c>
      <c r="K10" s="2">
        <f>IF(D10=0,"",E10/D10)</f>
        <v/>
      </c>
      <c r="L10" s="3">
        <f>E10-D10</f>
        <v/>
      </c>
      <c r="M10" s="2">
        <f>IF(F10="","",IF(F10=0,"",H10/F10))</f>
        <v/>
      </c>
      <c r="N10" s="2">
        <f>IF(F10="","",IF(F10=0,"",G10/F10))</f>
        <v/>
      </c>
      <c r="O10" s="2">
        <f>IF(G10=0,"",H10/G10)</f>
        <v/>
      </c>
      <c r="P10" s="2">
        <f>IF(AND(B10=B9,C10=C9),IF(E9=0,"",(E10-E9)/E9),"")</f>
        <v/>
      </c>
    </row>
    <row r="11">
      <c r="A11" t="inlineStr">
        <is>
          <t>2024-04</t>
        </is>
      </c>
      <c r="B11" t="inlineStr">
        <is>
          <t>华东</t>
        </is>
      </c>
      <c r="C11" t="inlineStr">
        <is>
          <t>产品B</t>
        </is>
      </c>
      <c r="D11" t="n">
        <v>95</v>
      </c>
      <c r="E11" t="n">
        <v>98</v>
      </c>
      <c r="F11" t="n">
        <v>430</v>
      </c>
      <c r="G11" t="n">
        <v>287</v>
      </c>
      <c r="H11" t="n">
        <v>69</v>
      </c>
      <c r="I11" t="n">
        <v>14203</v>
      </c>
      <c r="K11" s="2">
        <f>IF(D11=0,"",E11/D11)</f>
        <v/>
      </c>
      <c r="L11" s="3">
        <f>E11-D11</f>
        <v/>
      </c>
      <c r="M11" s="2">
        <f>IF(F11="","",IF(F11=0,"",H11/F11))</f>
        <v/>
      </c>
      <c r="N11" s="2">
        <f>IF(F11="","",IF(F11=0,"",G11/F11))</f>
        <v/>
      </c>
      <c r="O11" s="2">
        <f>IF(G11=0,"",H11/G11)</f>
        <v/>
      </c>
      <c r="P11" s="2">
        <f>IF(AND(B11=B10,C11=C10),IF(E10=0,"",(E11-E10)/E10),"")</f>
        <v/>
      </c>
    </row>
    <row r="12">
      <c r="A12" t="inlineStr">
        <is>
          <t>2024-05</t>
        </is>
      </c>
      <c r="B12" t="inlineStr">
        <is>
          <t>华东</t>
        </is>
      </c>
      <c r="C12" t="inlineStr">
        <is>
          <t>产品B</t>
        </is>
      </c>
      <c r="D12" t="n">
        <v>95</v>
      </c>
      <c r="E12" t="n">
        <v>93</v>
      </c>
      <c r="F12" t="n">
        <v>422</v>
      </c>
      <c r="G12" t="n">
        <v>281</v>
      </c>
      <c r="H12" t="n">
        <v>65</v>
      </c>
      <c r="I12" t="n">
        <v>14308</v>
      </c>
      <c r="K12" s="2">
        <f>IF(D12=0,"",E12/D12)</f>
        <v/>
      </c>
      <c r="L12" s="3">
        <f>E12-D12</f>
        <v/>
      </c>
      <c r="M12" s="2">
        <f>IF(F12="","",IF(F12=0,"",H12/F12))</f>
        <v/>
      </c>
      <c r="N12" s="2">
        <f>IF(F12="","",IF(F12=0,"",G12/F12))</f>
        <v/>
      </c>
      <c r="O12" s="2">
        <f>IF(G12=0,"",H12/G12)</f>
        <v/>
      </c>
      <c r="P12" s="2">
        <f>IF(AND(B12=B11,C12=C11),IF(E11=0,"",(E12-E11)/E11),"")</f>
        <v/>
      </c>
    </row>
    <row r="13">
      <c r="A13" t="inlineStr">
        <is>
          <t>2024-06</t>
        </is>
      </c>
      <c r="B13" t="inlineStr">
        <is>
          <t>华东</t>
        </is>
      </c>
      <c r="C13" t="inlineStr">
        <is>
          <t>产品B</t>
        </is>
      </c>
      <c r="D13" t="n">
        <v>100</v>
      </c>
      <c r="E13" t="n">
        <v>100</v>
      </c>
      <c r="F13" t="n">
        <v>432</v>
      </c>
      <c r="G13" t="n">
        <v>290</v>
      </c>
      <c r="H13" t="n">
        <v>70</v>
      </c>
      <c r="I13" t="n">
        <v>14286</v>
      </c>
      <c r="K13" s="2">
        <f>IF(D13=0,"",E13/D13)</f>
        <v/>
      </c>
      <c r="L13" s="3">
        <f>E13-D13</f>
        <v/>
      </c>
      <c r="M13" s="2">
        <f>IF(F13="","",IF(F13=0,"",H13/F13))</f>
        <v/>
      </c>
      <c r="N13" s="2">
        <f>IF(F13="","",IF(F13=0,"",G13/F13))</f>
        <v/>
      </c>
      <c r="O13" s="2">
        <f>IF(G13=0,"",H13/G13)</f>
        <v/>
      </c>
      <c r="P13" s="2">
        <f>IF(AND(B13=B12,C13=C12),IF(E12=0,"",(E13-E12)/E12),"")</f>
        <v/>
      </c>
    </row>
    <row r="14">
      <c r="A14" t="inlineStr">
        <is>
          <t>2024-01</t>
        </is>
      </c>
      <c r="B14" t="inlineStr">
        <is>
          <t>华北</t>
        </is>
      </c>
      <c r="C14" t="inlineStr">
        <is>
          <t>产品A</t>
        </is>
      </c>
      <c r="D14" t="n">
        <v>80</v>
      </c>
      <c r="E14" t="n">
        <v>79</v>
      </c>
      <c r="F14" t="n">
        <v>320</v>
      </c>
      <c r="G14" t="n">
        <v>210</v>
      </c>
      <c r="H14" t="n">
        <v>52</v>
      </c>
      <c r="I14" t="n">
        <v>15192</v>
      </c>
      <c r="K14" s="2">
        <f>IF(D14=0,"",E14/D14)</f>
        <v/>
      </c>
      <c r="L14" s="3">
        <f>E14-D14</f>
        <v/>
      </c>
      <c r="M14" s="2">
        <f>IF(F14="","",IF(F14=0,"",H14/F14))</f>
        <v/>
      </c>
      <c r="N14" s="2">
        <f>IF(F14="","",IF(F14=0,"",G14/F14))</f>
        <v/>
      </c>
      <c r="O14" s="2">
        <f>IF(G14=0,"",H14/G14)</f>
        <v/>
      </c>
      <c r="P14" s="2">
        <f>IF(AND(B14=B13,C14=C13),IF(E13=0,"",(E14-E13)/E13),"")</f>
        <v/>
      </c>
    </row>
    <row r="15">
      <c r="A15" t="inlineStr">
        <is>
          <t>2024-02</t>
        </is>
      </c>
      <c r="B15" t="inlineStr">
        <is>
          <t>华北</t>
        </is>
      </c>
      <c r="C15" t="inlineStr">
        <is>
          <t>产品A</t>
        </is>
      </c>
      <c r="D15" t="n">
        <v>80</v>
      </c>
      <c r="E15" t="n">
        <v>83</v>
      </c>
      <c r="F15" t="n">
        <v>308</v>
      </c>
      <c r="G15" t="n">
        <v>204</v>
      </c>
      <c r="H15" t="n">
        <v>55</v>
      </c>
      <c r="I15" t="n">
        <v>15091</v>
      </c>
      <c r="K15" s="2">
        <f>IF(D15=0,"",E15/D15)</f>
        <v/>
      </c>
      <c r="L15" s="3">
        <f>E15-D15</f>
        <v/>
      </c>
      <c r="M15" s="2">
        <f>IF(F15="","",IF(F15=0,"",H15/F15))</f>
        <v/>
      </c>
      <c r="N15" s="2">
        <f>IF(F15="","",IF(F15=0,"",G15/F15))</f>
        <v/>
      </c>
      <c r="O15" s="2">
        <f>IF(G15=0,"",H15/G15)</f>
        <v/>
      </c>
      <c r="P15" s="2">
        <f>IF(AND(B15=B14,C15=C14),IF(E14=0,"",(E15-E14)/E14),"")</f>
        <v/>
      </c>
    </row>
    <row r="16">
      <c r="A16" t="inlineStr">
        <is>
          <t>2024-03</t>
        </is>
      </c>
      <c r="B16" t="inlineStr">
        <is>
          <t>华北</t>
        </is>
      </c>
      <c r="C16" t="inlineStr">
        <is>
          <t>产品A</t>
        </is>
      </c>
      <c r="D16" t="n">
        <v>85</v>
      </c>
      <c r="E16" t="n">
        <v>84</v>
      </c>
      <c r="F16" t="n">
        <v>330</v>
      </c>
      <c r="G16" t="n">
        <v>218</v>
      </c>
      <c r="H16" t="n">
        <v>56</v>
      </c>
      <c r="I16" t="n">
        <v>15000</v>
      </c>
      <c r="K16" s="2">
        <f>IF(D16=0,"",E16/D16)</f>
        <v/>
      </c>
      <c r="L16" s="3">
        <f>E16-D16</f>
        <v/>
      </c>
      <c r="M16" s="2">
        <f>IF(F16="","",IF(F16=0,"",H16/F16))</f>
        <v/>
      </c>
      <c r="N16" s="2">
        <f>IF(F16="","",IF(F16=0,"",G16/F16))</f>
        <v/>
      </c>
      <c r="O16" s="2">
        <f>IF(G16=0,"",H16/G16)</f>
        <v/>
      </c>
      <c r="P16" s="2">
        <f>IF(AND(B16=B15,C16=C15),IF(E15=0,"",(E16-E15)/E15),"")</f>
        <v/>
      </c>
    </row>
    <row r="17">
      <c r="A17" t="inlineStr">
        <is>
          <t>2024-04</t>
        </is>
      </c>
      <c r="B17" t="inlineStr">
        <is>
          <t>华北</t>
        </is>
      </c>
      <c r="C17" t="inlineStr">
        <is>
          <t>产品A</t>
        </is>
      </c>
      <c r="D17" t="n">
        <v>90</v>
      </c>
      <c r="E17" t="n">
        <v>41</v>
      </c>
      <c r="F17" t="n">
        <v>328</v>
      </c>
      <c r="G17" t="n">
        <v>182</v>
      </c>
      <c r="H17" t="n">
        <v>18</v>
      </c>
      <c r="I17" t="n">
        <v>22778</v>
      </c>
      <c r="J17" t="inlineStr">
        <is>
          <t>???</t>
        </is>
      </c>
      <c r="K17" s="2">
        <f>IF(D17=0,"",E17/D17)</f>
        <v/>
      </c>
      <c r="L17" s="3">
        <f>E17-D17</f>
        <v/>
      </c>
      <c r="M17" s="2">
        <f>IF(F17="","",IF(F17=0,"",H17/F17))</f>
        <v/>
      </c>
      <c r="N17" s="2">
        <f>IF(F17="","",IF(F17=0,"",G17/F17))</f>
        <v/>
      </c>
      <c r="O17" s="2">
        <f>IF(G17=0,"",H17/G17)</f>
        <v/>
      </c>
      <c r="P17" s="2">
        <f>IF(AND(B17=B16,C17=C16),IF(E16=0,"",(E17-E16)/E16),"")</f>
        <v/>
      </c>
    </row>
    <row r="18">
      <c r="A18" t="inlineStr">
        <is>
          <t>2024-05</t>
        </is>
      </c>
      <c r="B18" t="inlineStr">
        <is>
          <t>华北</t>
        </is>
      </c>
      <c r="C18" t="inlineStr">
        <is>
          <t>产品A</t>
        </is>
      </c>
      <c r="D18" t="n">
        <v>90</v>
      </c>
      <c r="E18" t="n">
        <v>38</v>
      </c>
      <c r="G18" t="n">
        <v>175</v>
      </c>
      <c r="H18" t="n">
        <v>16</v>
      </c>
      <c r="I18" t="n">
        <v>23750</v>
      </c>
      <c r="J18" t="inlineStr">
        <is>
          <t>数据待确认</t>
        </is>
      </c>
      <c r="K18" s="2">
        <f>IF(D18=0,"",E18/D18)</f>
        <v/>
      </c>
      <c r="L18" s="3">
        <f>E18-D18</f>
        <v/>
      </c>
      <c r="M18" s="2">
        <f>IF(F18="","",IF(F18=0,"",H18/F18))</f>
        <v/>
      </c>
      <c r="N18" s="2">
        <f>IF(F18="","",IF(F18=0,"",G18/F18))</f>
        <v/>
      </c>
      <c r="O18" s="2">
        <f>IF(G18=0,"",H18/G18)</f>
        <v/>
      </c>
      <c r="P18" s="2">
        <f>IF(AND(B18=B17,C18=C17),IF(E17=0,"",(E18-E17)/E17),"")</f>
        <v/>
      </c>
    </row>
    <row r="19">
      <c r="A19" t="inlineStr">
        <is>
          <t>2024-06</t>
        </is>
      </c>
      <c r="B19" t="inlineStr">
        <is>
          <t>华北</t>
        </is>
      </c>
      <c r="C19" t="inlineStr">
        <is>
          <t>产品A</t>
        </is>
      </c>
      <c r="D19" t="n">
        <v>90</v>
      </c>
      <c r="E19" t="n">
        <v>35</v>
      </c>
      <c r="F19" t="n">
        <v>312</v>
      </c>
      <c r="G19" t="n">
        <v>168</v>
      </c>
      <c r="H19" t="n">
        <v>14</v>
      </c>
      <c r="I19" t="n">
        <v>25000</v>
      </c>
      <c r="K19" s="2">
        <f>IF(D19=0,"",E19/D19)</f>
        <v/>
      </c>
      <c r="L19" s="3">
        <f>E19-D19</f>
        <v/>
      </c>
      <c r="M19" s="2">
        <f>IF(F19="","",IF(F19=0,"",H19/F19))</f>
        <v/>
      </c>
      <c r="N19" s="2">
        <f>IF(F19="","",IF(F19=0,"",G19/F19))</f>
        <v/>
      </c>
      <c r="O19" s="2">
        <f>IF(G19=0,"",H19/G19)</f>
        <v/>
      </c>
      <c r="P19" s="2">
        <f>IF(AND(B19=B18,C19=C18),IF(E18=0,"",(E19-E18)/E18),"")</f>
        <v/>
      </c>
    </row>
    <row r="20">
      <c r="A20" t="inlineStr">
        <is>
          <t>2024-01</t>
        </is>
      </c>
      <c r="B20" t="inlineStr">
        <is>
          <t>华北</t>
        </is>
      </c>
      <c r="C20" t="inlineStr">
        <is>
          <t>产品B</t>
        </is>
      </c>
      <c r="D20" t="n">
        <v>60</v>
      </c>
      <c r="E20" t="n">
        <v>62</v>
      </c>
      <c r="F20" t="n">
        <v>280</v>
      </c>
      <c r="G20" t="n">
        <v>188</v>
      </c>
      <c r="H20" t="n">
        <v>44</v>
      </c>
      <c r="I20" t="n">
        <v>14091</v>
      </c>
      <c r="K20" s="2">
        <f>IF(D20=0,"",E20/D20)</f>
        <v/>
      </c>
      <c r="L20" s="3">
        <f>E20-D20</f>
        <v/>
      </c>
      <c r="M20" s="2">
        <f>IF(F20="","",IF(F20=0,"",H20/F20))</f>
        <v/>
      </c>
      <c r="N20" s="2">
        <f>IF(F20="","",IF(F20=0,"",G20/F20))</f>
        <v/>
      </c>
      <c r="O20" s="2">
        <f>IF(G20=0,"",H20/G20)</f>
        <v/>
      </c>
      <c r="P20" s="2">
        <f>IF(AND(B20=B19,C20=C19),IF(E19=0,"",(E20-E19)/E19),"")</f>
        <v/>
      </c>
    </row>
    <row r="21">
      <c r="A21" t="inlineStr">
        <is>
          <t>2024-02</t>
        </is>
      </c>
      <c r="B21" t="inlineStr">
        <is>
          <t>华北</t>
        </is>
      </c>
      <c r="C21" t="inlineStr">
        <is>
          <t>产品B</t>
        </is>
      </c>
      <c r="D21" t="n">
        <v>60</v>
      </c>
      <c r="E21" t="n">
        <v>59</v>
      </c>
      <c r="F21" t="n">
        <v>292</v>
      </c>
      <c r="G21" t="n">
        <v>190</v>
      </c>
      <c r="H21" t="n">
        <v>41</v>
      </c>
      <c r="I21" t="n">
        <v>14390</v>
      </c>
      <c r="K21" s="2">
        <f>IF(D21=0,"",E21/D21)</f>
        <v/>
      </c>
      <c r="L21" s="3">
        <f>E21-D21</f>
        <v/>
      </c>
      <c r="M21" s="2">
        <f>IF(F21="","",IF(F21=0,"",H21/F21))</f>
        <v/>
      </c>
      <c r="N21" s="2">
        <f>IF(F21="","",IF(F21=0,"",G21/F21))</f>
        <v/>
      </c>
      <c r="O21" s="2">
        <f>IF(G21=0,"",H21/G21)</f>
        <v/>
      </c>
      <c r="P21" s="2">
        <f>IF(AND(B21=B20,C21=C20),IF(E20=0,"",(E21-E20)/E20),"")</f>
        <v/>
      </c>
    </row>
    <row r="22">
      <c r="A22" t="inlineStr">
        <is>
          <t>2024-03</t>
        </is>
      </c>
      <c r="B22" t="inlineStr">
        <is>
          <t>华北</t>
        </is>
      </c>
      <c r="C22" t="inlineStr">
        <is>
          <t>产品B</t>
        </is>
      </c>
      <c r="D22" t="n">
        <v>65</v>
      </c>
      <c r="E22" t="n">
        <v>67</v>
      </c>
      <c r="F22" t="n">
        <v>298</v>
      </c>
      <c r="G22" t="n">
        <v>194</v>
      </c>
      <c r="H22" t="n">
        <v>46</v>
      </c>
      <c r="I22" t="n">
        <v>14565</v>
      </c>
      <c r="K22" s="2">
        <f>IF(D22=0,"",E22/D22)</f>
        <v/>
      </c>
      <c r="L22" s="3">
        <f>E22-D22</f>
        <v/>
      </c>
      <c r="M22" s="2">
        <f>IF(F22="","",IF(F22=0,"",H22/F22))</f>
        <v/>
      </c>
      <c r="N22" s="2">
        <f>IF(F22="","",IF(F22=0,"",G22/F22))</f>
        <v/>
      </c>
      <c r="O22" s="2">
        <f>IF(G22=0,"",H22/G22)</f>
        <v/>
      </c>
      <c r="P22" s="2">
        <f>IF(AND(B22=B21,C22=C21),IF(E21=0,"",(E22-E21)/E21),"")</f>
        <v/>
      </c>
    </row>
    <row r="23">
      <c r="A23" t="inlineStr">
        <is>
          <t>2024-04</t>
        </is>
      </c>
      <c r="B23" t="inlineStr">
        <is>
          <t>华北</t>
        </is>
      </c>
      <c r="C23" t="inlineStr">
        <is>
          <t>产品B</t>
        </is>
      </c>
      <c r="D23" t="n">
        <v>65</v>
      </c>
      <c r="E23" t="n">
        <v>66</v>
      </c>
      <c r="F23" t="n">
        <v>290</v>
      </c>
      <c r="G23" t="n">
        <v>190</v>
      </c>
      <c r="H23" t="n">
        <v>45</v>
      </c>
      <c r="I23" t="n">
        <v>14667</v>
      </c>
      <c r="K23" s="2">
        <f>IF(D23=0,"",E23/D23)</f>
        <v/>
      </c>
      <c r="L23" s="3">
        <f>E23-D23</f>
        <v/>
      </c>
      <c r="M23" s="2">
        <f>IF(F23="","",IF(F23=0,"",H23/F23))</f>
        <v/>
      </c>
      <c r="N23" s="2">
        <f>IF(F23="","",IF(F23=0,"",G23/F23))</f>
        <v/>
      </c>
      <c r="O23" s="2">
        <f>IF(G23=0,"",H23/G23)</f>
        <v/>
      </c>
      <c r="P23" s="2">
        <f>IF(AND(B23=B22,C23=C22),IF(E22=0,"",(E23-E22)/E22),"")</f>
        <v/>
      </c>
    </row>
    <row r="24">
      <c r="A24" t="inlineStr">
        <is>
          <t>2024-05</t>
        </is>
      </c>
      <c r="B24" t="inlineStr">
        <is>
          <t>华北</t>
        </is>
      </c>
      <c r="C24" t="inlineStr">
        <is>
          <t>产品B</t>
        </is>
      </c>
      <c r="D24" t="n">
        <v>65</v>
      </c>
      <c r="E24" t="n">
        <v>64</v>
      </c>
      <c r="F24" t="n">
        <v>285</v>
      </c>
      <c r="G24" t="n">
        <v>188</v>
      </c>
      <c r="H24" t="n">
        <v>43</v>
      </c>
      <c r="I24" t="n">
        <v>14884</v>
      </c>
      <c r="K24" s="2">
        <f>IF(D24=0,"",E24/D24)</f>
        <v/>
      </c>
      <c r="L24" s="3">
        <f>E24-D24</f>
        <v/>
      </c>
      <c r="M24" s="2">
        <f>IF(F24="","",IF(F24=0,"",H24/F24))</f>
        <v/>
      </c>
      <c r="N24" s="2">
        <f>IF(F24="","",IF(F24=0,"",G24/F24))</f>
        <v/>
      </c>
      <c r="O24" s="2">
        <f>IF(G24=0,"",H24/G24)</f>
        <v/>
      </c>
      <c r="P24" s="2">
        <f>IF(AND(B24=B23,C24=C23),IF(E23=0,"",(E24-E23)/E23),"")</f>
        <v/>
      </c>
    </row>
    <row r="25">
      <c r="A25" t="inlineStr">
        <is>
          <t>2024-06</t>
        </is>
      </c>
      <c r="B25" t="inlineStr">
        <is>
          <t>华北</t>
        </is>
      </c>
      <c r="C25" t="inlineStr">
        <is>
          <t>产品B</t>
        </is>
      </c>
      <c r="D25" t="n">
        <v>65</v>
      </c>
      <c r="E25" t="n">
        <v>63</v>
      </c>
      <c r="F25" t="n">
        <v>288</v>
      </c>
      <c r="G25" t="n">
        <v>186</v>
      </c>
      <c r="H25" t="n">
        <v>42</v>
      </c>
      <c r="I25" t="n">
        <v>15000</v>
      </c>
      <c r="K25" s="2">
        <f>IF(D25=0,"",E25/D25)</f>
        <v/>
      </c>
      <c r="L25" s="3">
        <f>E25-D25</f>
        <v/>
      </c>
      <c r="M25" s="2">
        <f>IF(F25="","",IF(F25=0,"",H25/F25))</f>
        <v/>
      </c>
      <c r="N25" s="2">
        <f>IF(F25="","",IF(F25=0,"",G25/F25))</f>
        <v/>
      </c>
      <c r="O25" s="2">
        <f>IF(G25=0,"",H25/G25)</f>
        <v/>
      </c>
      <c r="P25" s="2">
        <f>IF(AND(B25=B24,C25=C24),IF(E24=0,"",(E25-E24)/E24),"")</f>
        <v/>
      </c>
    </row>
    <row r="26">
      <c r="A26" t="inlineStr">
        <is>
          <t>2024-01</t>
        </is>
      </c>
      <c r="B26" t="inlineStr">
        <is>
          <t>华南</t>
        </is>
      </c>
      <c r="C26" t="inlineStr">
        <is>
          <t>产品A</t>
        </is>
      </c>
      <c r="D26" t="n">
        <v>75</v>
      </c>
      <c r="E26" t="n">
        <v>74</v>
      </c>
      <c r="F26" t="n">
        <v>296</v>
      </c>
      <c r="G26" t="n">
        <v>198</v>
      </c>
      <c r="H26" t="n">
        <v>49</v>
      </c>
      <c r="I26" t="n">
        <v>15102</v>
      </c>
      <c r="K26" s="2">
        <f>IF(D26=0,"",E26/D26)</f>
        <v/>
      </c>
      <c r="L26" s="3">
        <f>E26-D26</f>
        <v/>
      </c>
      <c r="M26" s="2">
        <f>IF(F26="","",IF(F26=0,"",H26/F26))</f>
        <v/>
      </c>
      <c r="N26" s="2">
        <f>IF(F26="","",IF(F26=0,"",G26/F26))</f>
        <v/>
      </c>
      <c r="O26" s="2">
        <f>IF(G26=0,"",H26/G26)</f>
        <v/>
      </c>
      <c r="P26" s="2">
        <f>IF(AND(B26=B25,C26=C25),IF(E25=0,"",(E26-E25)/E25),"")</f>
        <v/>
      </c>
    </row>
    <row r="27">
      <c r="A27" t="inlineStr">
        <is>
          <t>2024-02</t>
        </is>
      </c>
      <c r="B27" t="inlineStr">
        <is>
          <t>华南</t>
        </is>
      </c>
      <c r="C27" t="inlineStr">
        <is>
          <t>产品A</t>
        </is>
      </c>
      <c r="D27" t="n">
        <v>75</v>
      </c>
      <c r="E27" t="n">
        <v>76</v>
      </c>
      <c r="F27" t="n">
        <v>305</v>
      </c>
      <c r="G27" t="n">
        <v>203</v>
      </c>
      <c r="H27" t="n">
        <v>51</v>
      </c>
      <c r="I27" t="n">
        <v>14902</v>
      </c>
      <c r="K27" s="2">
        <f>IF(D27=0,"",E27/D27)</f>
        <v/>
      </c>
      <c r="L27" s="3">
        <f>E27-D27</f>
        <v/>
      </c>
      <c r="M27" s="2">
        <f>IF(F27="","",IF(F27=0,"",H27/F27))</f>
        <v/>
      </c>
      <c r="N27" s="2">
        <f>IF(F27="","",IF(F27=0,"",G27/F27))</f>
        <v/>
      </c>
      <c r="O27" s="2">
        <f>IF(G27=0,"",H27/G27)</f>
        <v/>
      </c>
      <c r="P27" s="2">
        <f>IF(AND(B27=B26,C27=C26),IF(E26=0,"",(E27-E26)/E26),"")</f>
        <v/>
      </c>
    </row>
    <row r="28">
      <c r="A28" t="inlineStr">
        <is>
          <t>2024-03</t>
        </is>
      </c>
      <c r="B28" t="inlineStr">
        <is>
          <t>华南</t>
        </is>
      </c>
      <c r="C28" t="inlineStr">
        <is>
          <t>产品A</t>
        </is>
      </c>
      <c r="D28" t="n">
        <v>80</v>
      </c>
      <c r="E28" t="n">
        <v>80</v>
      </c>
      <c r="F28" t="n">
        <v>314</v>
      </c>
      <c r="G28" t="n">
        <v>210</v>
      </c>
      <c r="H28" t="n">
        <v>53</v>
      </c>
      <c r="I28" t="n">
        <v>15094</v>
      </c>
      <c r="K28" s="2">
        <f>IF(D28=0,"",E28/D28)</f>
        <v/>
      </c>
      <c r="L28" s="3">
        <f>E28-D28</f>
        <v/>
      </c>
      <c r="M28" s="2">
        <f>IF(F28="","",IF(F28=0,"",H28/F28))</f>
        <v/>
      </c>
      <c r="N28" s="2">
        <f>IF(F28="","",IF(F28=0,"",G28/F28))</f>
        <v/>
      </c>
      <c r="O28" s="2">
        <f>IF(G28=0,"",H28/G28)</f>
        <v/>
      </c>
      <c r="P28" s="2">
        <f>IF(AND(B28=B27,C28=C27),IF(E27=0,"",(E28-E27)/E27),"")</f>
        <v/>
      </c>
    </row>
    <row r="29">
      <c r="A29" t="inlineStr">
        <is>
          <t>2024-04</t>
        </is>
      </c>
      <c r="B29" t="inlineStr">
        <is>
          <t>华南</t>
        </is>
      </c>
      <c r="C29" t="inlineStr">
        <is>
          <t>产品A</t>
        </is>
      </c>
      <c r="D29" t="n">
        <v>82</v>
      </c>
      <c r="E29" t="n">
        <v>77</v>
      </c>
      <c r="F29" t="n">
        <v>308</v>
      </c>
      <c r="G29" t="n">
        <v>205</v>
      </c>
      <c r="H29" t="n">
        <v>51</v>
      </c>
      <c r="I29" t="n">
        <v>15098</v>
      </c>
      <c r="K29" s="2">
        <f>IF(D29=0,"",E29/D29)</f>
        <v/>
      </c>
      <c r="L29" s="3">
        <f>E29-D29</f>
        <v/>
      </c>
      <c r="M29" s="2">
        <f>IF(F29="","",IF(F29=0,"",H29/F29))</f>
        <v/>
      </c>
      <c r="N29" s="2">
        <f>IF(F29="","",IF(F29=0,"",G29/F29))</f>
        <v/>
      </c>
      <c r="O29" s="2">
        <f>IF(G29=0,"",H29/G29)</f>
        <v/>
      </c>
      <c r="P29" s="2">
        <f>IF(AND(B29=B28,C29=C28),IF(E28=0,"",(E29-E28)/E28),"")</f>
        <v/>
      </c>
    </row>
    <row r="30">
      <c r="A30" t="inlineStr">
        <is>
          <t>2024-05</t>
        </is>
      </c>
      <c r="B30" t="inlineStr">
        <is>
          <t>华南</t>
        </is>
      </c>
      <c r="C30" t="inlineStr">
        <is>
          <t>产品A</t>
        </is>
      </c>
      <c r="D30" t="n">
        <v>82</v>
      </c>
      <c r="E30" t="n">
        <v>78</v>
      </c>
      <c r="F30" t="n">
        <v>316</v>
      </c>
      <c r="G30" t="n">
        <v>211</v>
      </c>
      <c r="H30" t="n">
        <v>52</v>
      </c>
      <c r="I30" t="n">
        <v>14904</v>
      </c>
      <c r="K30" s="2">
        <f>IF(D30=0,"",E30/D30)</f>
        <v/>
      </c>
      <c r="L30" s="3">
        <f>E30-D30</f>
        <v/>
      </c>
      <c r="M30" s="2">
        <f>IF(F30="","",IF(F30=0,"",H30/F30))</f>
        <v/>
      </c>
      <c r="N30" s="2">
        <f>IF(F30="","",IF(F30=0,"",G30/F30))</f>
        <v/>
      </c>
      <c r="O30" s="2">
        <f>IF(G30=0,"",H30/G30)</f>
        <v/>
      </c>
      <c r="P30" s="2">
        <f>IF(AND(B30=B29,C30=C29),IF(E29=0,"",(E30-E29)/E29),"")</f>
        <v/>
      </c>
    </row>
    <row r="31">
      <c r="A31" t="inlineStr">
        <is>
          <t>2024-06</t>
        </is>
      </c>
      <c r="B31" t="inlineStr">
        <is>
          <t>华南</t>
        </is>
      </c>
      <c r="C31" t="inlineStr">
        <is>
          <t>产品A</t>
        </is>
      </c>
      <c r="D31" t="n">
        <v>85</v>
      </c>
      <c r="E31" t="n">
        <v>76</v>
      </c>
      <c r="F31" t="n">
        <v>304</v>
      </c>
      <c r="G31" t="n">
        <v>202</v>
      </c>
      <c r="H31" t="n">
        <v>50</v>
      </c>
      <c r="I31" t="n">
        <v>15100</v>
      </c>
      <c r="K31" s="2">
        <f>IF(D31=0,"",E31/D31)</f>
        <v/>
      </c>
      <c r="L31" s="3">
        <f>E31-D31</f>
        <v/>
      </c>
      <c r="M31" s="2">
        <f>IF(F31="","",IF(F31=0,"",H31/F31))</f>
        <v/>
      </c>
      <c r="N31" s="2">
        <f>IF(F31="","",IF(F31=0,"",G31/F31))</f>
        <v/>
      </c>
      <c r="O31" s="2">
        <f>IF(G31=0,"",H31/G31)</f>
        <v/>
      </c>
      <c r="P31" s="2">
        <f>IF(AND(B31=B30,C31=C30),IF(E30=0,"",(E31-E30)/E30),"")</f>
        <v/>
      </c>
    </row>
    <row r="32">
      <c r="A32" t="inlineStr">
        <is>
          <t>2024-01</t>
        </is>
      </c>
      <c r="B32" t="inlineStr">
        <is>
          <t>华南</t>
        </is>
      </c>
      <c r="C32" t="inlineStr">
        <is>
          <t>产品B</t>
        </is>
      </c>
      <c r="D32" t="n">
        <v>55</v>
      </c>
      <c r="E32" t="n">
        <v>55</v>
      </c>
      <c r="F32" t="n">
        <v>262</v>
      </c>
      <c r="G32" t="n">
        <v>174</v>
      </c>
      <c r="H32" t="n">
        <v>39</v>
      </c>
      <c r="I32" t="n">
        <v>14103</v>
      </c>
      <c r="K32" s="2">
        <f>IF(D32=0,"",E32/D32)</f>
        <v/>
      </c>
      <c r="L32" s="3">
        <f>E32-D32</f>
        <v/>
      </c>
      <c r="M32" s="2">
        <f>IF(F32="","",IF(F32=0,"",H32/F32))</f>
        <v/>
      </c>
      <c r="N32" s="2">
        <f>IF(F32="","",IF(F32=0,"",G32/F32))</f>
        <v/>
      </c>
      <c r="O32" s="2">
        <f>IF(G32=0,"",H32/G32)</f>
        <v/>
      </c>
      <c r="P32" s="2">
        <f>IF(AND(B32=B31,C32=C31),IF(E31=0,"",(E32-E31)/E31),"")</f>
        <v/>
      </c>
    </row>
    <row r="33">
      <c r="A33" t="inlineStr">
        <is>
          <t>2024-02</t>
        </is>
      </c>
      <c r="B33" t="inlineStr">
        <is>
          <t>华南</t>
        </is>
      </c>
      <c r="C33" t="inlineStr">
        <is>
          <t>产品B</t>
        </is>
      </c>
      <c r="D33" t="n">
        <v>55</v>
      </c>
      <c r="E33" t="n">
        <v>59</v>
      </c>
      <c r="F33" t="n">
        <v>272</v>
      </c>
      <c r="G33" t="n">
        <v>180</v>
      </c>
      <c r="H33" t="n">
        <v>41</v>
      </c>
      <c r="I33" t="n">
        <v>14390</v>
      </c>
      <c r="K33" s="2">
        <f>IF(D33=0,"",E33/D33)</f>
        <v/>
      </c>
      <c r="L33" s="3">
        <f>E33-D33</f>
        <v/>
      </c>
      <c r="M33" s="2">
        <f>IF(F33="","",IF(F33=0,"",H33/F33))</f>
        <v/>
      </c>
      <c r="N33" s="2">
        <f>IF(F33="","",IF(F33=0,"",G33/F33))</f>
        <v/>
      </c>
      <c r="O33" s="2">
        <f>IF(G33=0,"",H33/G33)</f>
        <v/>
      </c>
      <c r="P33" s="2">
        <f>IF(AND(B33=B32,C33=C32),IF(E32=0,"",(E33-E32)/E32),"")</f>
        <v/>
      </c>
    </row>
    <row r="34">
      <c r="A34" t="inlineStr">
        <is>
          <t>2024-03</t>
        </is>
      </c>
      <c r="B34" t="inlineStr">
        <is>
          <t>华南</t>
        </is>
      </c>
      <c r="C34" t="inlineStr">
        <is>
          <t>产品B</t>
        </is>
      </c>
      <c r="D34" t="n">
        <v>58</v>
      </c>
      <c r="E34" t="n">
        <v>60</v>
      </c>
      <c r="F34" t="n">
        <v>275</v>
      </c>
      <c r="G34" t="n">
        <v>183</v>
      </c>
      <c r="H34" t="n">
        <v>42</v>
      </c>
      <c r="I34" t="n">
        <v>14286</v>
      </c>
      <c r="K34" s="2">
        <f>IF(D34=0,"",E34/D34)</f>
        <v/>
      </c>
      <c r="L34" s="3">
        <f>E34-D34</f>
        <v/>
      </c>
      <c r="M34" s="2">
        <f>IF(F34="","",IF(F34=0,"",H34/F34))</f>
        <v/>
      </c>
      <c r="N34" s="2">
        <f>IF(F34="","",IF(F34=0,"",G34/F34))</f>
        <v/>
      </c>
      <c r="O34" s="2">
        <f>IF(G34=0,"",H34/G34)</f>
        <v/>
      </c>
      <c r="P34" s="2">
        <f>IF(AND(B34=B33,C34=C33),IF(E33=0,"",(E34-E33)/E33),"")</f>
        <v/>
      </c>
    </row>
    <row r="35">
      <c r="A35" t="inlineStr">
        <is>
          <t>2024-04</t>
        </is>
      </c>
      <c r="B35" t="inlineStr">
        <is>
          <t>华南</t>
        </is>
      </c>
      <c r="C35" t="inlineStr">
        <is>
          <t>产品B</t>
        </is>
      </c>
      <c r="D35" t="n">
        <v>60</v>
      </c>
      <c r="E35" t="n">
        <v>58</v>
      </c>
      <c r="F35" t="n">
        <v>268</v>
      </c>
      <c r="G35" t="n">
        <v>176</v>
      </c>
      <c r="H35" t="n">
        <v>41</v>
      </c>
      <c r="J35" t="inlineStr">
        <is>
          <t>单价缺失</t>
        </is>
      </c>
      <c r="K35" s="2">
        <f>IF(D35=0,"",E35/D35)</f>
        <v/>
      </c>
      <c r="L35" s="3">
        <f>E35-D35</f>
        <v/>
      </c>
      <c r="M35" s="2">
        <f>IF(F35="","",IF(F35=0,"",H35/F35))</f>
        <v/>
      </c>
      <c r="N35" s="2">
        <f>IF(F35="","",IF(F35=0,"",G35/F35))</f>
        <v/>
      </c>
      <c r="O35" s="2">
        <f>IF(G35=0,"",H35/G35)</f>
        <v/>
      </c>
      <c r="P35" s="2">
        <f>IF(AND(B35=B34,C35=C34),IF(E34=0,"",(E35-E34)/E34),"")</f>
        <v/>
      </c>
    </row>
    <row r="36">
      <c r="A36" t="inlineStr">
        <is>
          <t>2024-05</t>
        </is>
      </c>
      <c r="B36" t="inlineStr">
        <is>
          <t>华南</t>
        </is>
      </c>
      <c r="C36" t="inlineStr">
        <is>
          <t>产品B</t>
        </is>
      </c>
      <c r="D36" t="n">
        <v>60</v>
      </c>
      <c r="E36" t="n">
        <v>57</v>
      </c>
      <c r="F36" t="n">
        <v>264</v>
      </c>
      <c r="G36" t="n">
        <v>174</v>
      </c>
      <c r="H36" t="n">
        <v>40</v>
      </c>
      <c r="I36" t="n">
        <v>14250</v>
      </c>
      <c r="K36" s="2">
        <f>IF(D36=0,"",E36/D36)</f>
        <v/>
      </c>
      <c r="L36" s="3">
        <f>E36-D36</f>
        <v/>
      </c>
      <c r="M36" s="2">
        <f>IF(F36="","",IF(F36=0,"",H36/F36))</f>
        <v/>
      </c>
      <c r="N36" s="2">
        <f>IF(F36="","",IF(F36=0,"",G36/F36))</f>
        <v/>
      </c>
      <c r="O36" s="2">
        <f>IF(G36=0,"",H36/G36)</f>
        <v/>
      </c>
      <c r="P36" s="2">
        <f>IF(AND(B36=B35,C36=C35),IF(E35=0,"",(E36-E35)/E35),"")</f>
        <v/>
      </c>
    </row>
    <row r="37">
      <c r="A37" t="inlineStr">
        <is>
          <t>2024-06</t>
        </is>
      </c>
      <c r="B37" t="inlineStr">
        <is>
          <t>华南</t>
        </is>
      </c>
      <c r="C37" t="inlineStr">
        <is>
          <t>产品B</t>
        </is>
      </c>
      <c r="D37" t="n">
        <v>62</v>
      </c>
      <c r="E37" t="n">
        <v>62</v>
      </c>
      <c r="F37" t="n">
        <v>278</v>
      </c>
      <c r="G37" t="n">
        <v>184</v>
      </c>
      <c r="H37" t="n">
        <v>43</v>
      </c>
      <c r="I37" t="n">
        <v>14419</v>
      </c>
      <c r="K37" s="2">
        <f>IF(D37=0,"",E37/D37)</f>
        <v/>
      </c>
      <c r="L37" s="3">
        <f>E37-D37</f>
        <v/>
      </c>
      <c r="M37" s="2">
        <f>IF(F37="","",IF(F37=0,"",H37/F37))</f>
        <v/>
      </c>
      <c r="N37" s="2">
        <f>IF(F37="","",IF(F37=0,"",G37/F37))</f>
        <v/>
      </c>
      <c r="O37" s="2">
        <f>IF(G37=0,"",H37/G37)</f>
        <v/>
      </c>
      <c r="P37" s="2">
        <f>IF(AND(B37=B36,C37=C36),IF(E36=0,"",(E37-E36)/E36),"")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2026-06-20T16:07:14Z</dcterms:created>
  <dcterms:modified xsi:type="dcterms:W3CDTF">2026-06-20T16:08:18Z</dcterms:modified>
</cp:coreProperties>
</file>